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iYuki\Downloads\School\Geo 111\"/>
    </mc:Choice>
  </mc:AlternateContent>
  <xr:revisionPtr revIDLastSave="0" documentId="13_ncr:1_{577A431A-78EC-45AE-8B1F-471AD1A08CA3}" xr6:coauthVersionLast="47" xr6:coauthVersionMax="47" xr10:uidLastSave="{00000000-0000-0000-0000-000000000000}"/>
  <bookViews>
    <workbookView xWindow="795" yWindow="3615" windowWidth="21600" windowHeight="11385" xr2:uid="{700FF14F-1695-402A-8F15-E440B22CC1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5" i="1" s="1"/>
  <c r="E22" i="1"/>
  <c r="H14" i="1"/>
  <c r="H15" i="1"/>
  <c r="H18" i="1" s="1"/>
  <c r="H7" i="1"/>
  <c r="H9" i="1" s="1"/>
  <c r="H6" i="1"/>
  <c r="B27" i="1"/>
  <c r="B29" i="1" s="1"/>
  <c r="B26" i="1"/>
  <c r="B9" i="1"/>
  <c r="B11" i="1" s="1"/>
  <c r="B8" i="1"/>
  <c r="B10" i="1"/>
  <c r="H17" i="1"/>
  <c r="B28" i="1"/>
  <c r="H20" i="1"/>
  <c r="H8" i="1"/>
  <c r="H21" i="1" l="1"/>
  <c r="H22" i="1" s="1"/>
</calcChain>
</file>

<file path=xl/sharedStrings.xml><?xml version="1.0" encoding="utf-8"?>
<sst xmlns="http://schemas.openxmlformats.org/spreadsheetml/2006/main" count="33" uniqueCount="13">
  <si>
    <t>Lab</t>
  </si>
  <si>
    <t>Discussion Board</t>
  </si>
  <si>
    <t>Points:</t>
  </si>
  <si>
    <t>Total Possible:</t>
  </si>
  <si>
    <t>Quiz</t>
  </si>
  <si>
    <t>How many</t>
  </si>
  <si>
    <t>Total Points</t>
  </si>
  <si>
    <t>Exam</t>
  </si>
  <si>
    <t>Final Project</t>
  </si>
  <si>
    <t>Final Total Possible</t>
  </si>
  <si>
    <t>Final Total</t>
  </si>
  <si>
    <t>Grade</t>
  </si>
  <si>
    <t>How many 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</si>
</sst>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8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2F18-C86C-4A93-B92B-83A226AE6854}">
  <dimension ref="A1:H30"/>
  <sheetViews>
    <sheetView tabSelected="1" workbookViewId="0">
      <selection activeCell="E24" sqref="E24"/>
    </sheetView>
  </sheetViews>
  <sheetFormatPr defaultRowHeight="15" x14ac:dyDescent="0.25"/>
  <cols>
    <col min="1" max="1" width="17" style="1" bestFit="1" customWidth="1"/>
    <col min="2" max="2" width="10" style="1" bestFit="1" customWidth="1"/>
    <col min="3" max="3" width="9.140625" style="1"/>
    <col min="4" max="4" width="17" style="1" bestFit="1" customWidth="1"/>
    <col min="5" max="5" width="4" style="1" bestFit="1" customWidth="1"/>
    <col min="6" max="6" width="9.140625" style="1"/>
    <col min="7" max="7" width="18.28515625" style="1" bestFit="1" customWidth="1"/>
    <col min="8" max="8" width="10" style="1" bestFit="1" customWidth="1"/>
    <col min="9" max="16384" width="9.140625" style="1"/>
  </cols>
  <sheetData>
    <row r="1" spans="1:8" x14ac:dyDescent="0.25">
      <c r="A1" s="2" t="s">
        <v>0</v>
      </c>
      <c r="D1" s="2" t="s">
        <v>4</v>
      </c>
      <c r="G1" s="2" t="s">
        <v>7</v>
      </c>
    </row>
    <row r="2" spans="1:8" x14ac:dyDescent="0.25">
      <c r="A2" s="2">
        <v>1</v>
      </c>
      <c r="B2" s="1">
        <v>54.22222</v>
      </c>
      <c r="D2" s="2">
        <v>1</v>
      </c>
      <c r="E2" s="1">
        <v>14</v>
      </c>
      <c r="G2" s="2">
        <v>1</v>
      </c>
      <c r="H2" s="1">
        <v>120</v>
      </c>
    </row>
    <row r="3" spans="1:8" x14ac:dyDescent="0.25">
      <c r="A3" s="2">
        <v>2</v>
      </c>
      <c r="B3" s="1">
        <v>0</v>
      </c>
      <c r="D3" s="2">
        <v>2</v>
      </c>
      <c r="E3" s="1">
        <v>15</v>
      </c>
      <c r="G3" s="2">
        <v>2</v>
      </c>
    </row>
    <row r="4" spans="1:8" x14ac:dyDescent="0.25">
      <c r="A4" s="2">
        <v>3</v>
      </c>
      <c r="B4" s="1">
        <v>32</v>
      </c>
      <c r="D4" s="2">
        <v>10</v>
      </c>
      <c r="E4" s="1">
        <v>15</v>
      </c>
      <c r="G4" s="2"/>
    </row>
    <row r="5" spans="1:8" x14ac:dyDescent="0.25">
      <c r="A5" s="2">
        <v>4</v>
      </c>
      <c r="B5" s="1">
        <v>52.25</v>
      </c>
      <c r="D5" s="2">
        <v>3</v>
      </c>
      <c r="E5" s="1">
        <v>14</v>
      </c>
      <c r="G5" s="2" t="s">
        <v>6</v>
      </c>
      <c r="H5" s="1">
        <v>120</v>
      </c>
    </row>
    <row r="6" spans="1:8" x14ac:dyDescent="0.25">
      <c r="A6" s="2"/>
      <c r="D6" s="2">
        <v>4</v>
      </c>
      <c r="E6" s="1">
        <v>0</v>
      </c>
      <c r="G6" s="2" t="s">
        <v>5</v>
      </c>
      <c r="H6" s="1">
        <f>COUNT(G2:G3)</f>
        <v>2</v>
      </c>
    </row>
    <row r="7" spans="1:8" x14ac:dyDescent="0.25">
      <c r="A7" s="2" t="s">
        <v>6</v>
      </c>
      <c r="B7" s="1">
        <v>60</v>
      </c>
      <c r="D7" s="2">
        <v>5</v>
      </c>
      <c r="E7" s="1">
        <v>0</v>
      </c>
      <c r="G7" s="2" t="s">
        <v>12</v>
      </c>
      <c r="H7" s="1">
        <f>COUNT(H2:H3)</f>
        <v>1</v>
      </c>
    </row>
    <row r="8" spans="1:8" x14ac:dyDescent="0.25">
      <c r="A8" s="2" t="s">
        <v>5</v>
      </c>
      <c r="B8" s="1">
        <f>COUNT(A2:A5)</f>
        <v>4</v>
      </c>
      <c r="D8" s="2">
        <v>6</v>
      </c>
      <c r="E8" s="1">
        <v>15</v>
      </c>
      <c r="G8" s="2" t="s">
        <v>2</v>
      </c>
      <c r="H8" s="1">
        <f>SUM(H2:H3)</f>
        <v>120</v>
      </c>
    </row>
    <row r="9" spans="1:8" x14ac:dyDescent="0.25">
      <c r="A9" s="2" t="s">
        <v>12</v>
      </c>
      <c r="B9" s="1">
        <f>COUNT(B2:B5)</f>
        <v>4</v>
      </c>
      <c r="D9" s="2">
        <v>7</v>
      </c>
      <c r="E9" s="1">
        <v>15</v>
      </c>
      <c r="G9" s="2" t="s">
        <v>3</v>
      </c>
      <c r="H9" s="1">
        <f>SUM(H5*H7)</f>
        <v>120</v>
      </c>
    </row>
    <row r="10" spans="1:8" x14ac:dyDescent="0.25">
      <c r="A10" s="2" t="s">
        <v>2</v>
      </c>
      <c r="B10" s="1">
        <f>SUM(B2:B5)</f>
        <v>138.47221999999999</v>
      </c>
      <c r="D10" s="2">
        <v>8</v>
      </c>
      <c r="E10" s="1">
        <v>15</v>
      </c>
    </row>
    <row r="11" spans="1:8" x14ac:dyDescent="0.25">
      <c r="A11" s="2" t="s">
        <v>3</v>
      </c>
      <c r="B11" s="1">
        <f>SUM(B7*B9)</f>
        <v>240</v>
      </c>
      <c r="D11" s="2">
        <v>12</v>
      </c>
      <c r="E11" s="1">
        <v>15</v>
      </c>
      <c r="G11" s="2" t="s">
        <v>8</v>
      </c>
    </row>
    <row r="12" spans="1:8" x14ac:dyDescent="0.25">
      <c r="A12" s="2"/>
      <c r="D12" s="2">
        <v>13</v>
      </c>
      <c r="E12" s="1">
        <v>15</v>
      </c>
      <c r="G12" s="1">
        <v>1</v>
      </c>
    </row>
    <row r="13" spans="1:8" x14ac:dyDescent="0.25">
      <c r="A13" s="2" t="s">
        <v>1</v>
      </c>
      <c r="D13" s="2">
        <v>17</v>
      </c>
      <c r="E13" s="1">
        <v>13</v>
      </c>
    </row>
    <row r="14" spans="1:8" x14ac:dyDescent="0.25">
      <c r="A14" s="2">
        <v>1</v>
      </c>
      <c r="B14" s="1">
        <v>15</v>
      </c>
      <c r="D14" s="2">
        <v>14</v>
      </c>
      <c r="E14" s="1">
        <v>15</v>
      </c>
      <c r="G14" s="2" t="s">
        <v>5</v>
      </c>
      <c r="H14" s="1">
        <f>COUNT(G12)</f>
        <v>1</v>
      </c>
    </row>
    <row r="15" spans="1:8" x14ac:dyDescent="0.25">
      <c r="A15" s="2">
        <v>2</v>
      </c>
      <c r="B15" s="1">
        <v>14.324999999999999</v>
      </c>
      <c r="D15" s="2">
        <v>15</v>
      </c>
      <c r="E15" s="1">
        <v>15</v>
      </c>
      <c r="G15" s="2" t="s">
        <v>12</v>
      </c>
      <c r="H15" s="1">
        <f>COUNT(H12)</f>
        <v>0</v>
      </c>
    </row>
    <row r="16" spans="1:8" x14ac:dyDescent="0.25">
      <c r="A16" s="2">
        <v>3</v>
      </c>
      <c r="B16" s="1">
        <v>14.324999999999999</v>
      </c>
      <c r="D16" s="2">
        <v>18</v>
      </c>
      <c r="E16" s="1">
        <v>15</v>
      </c>
      <c r="G16" s="2" t="s">
        <v>6</v>
      </c>
      <c r="H16" s="1">
        <v>85</v>
      </c>
    </row>
    <row r="17" spans="1:8" x14ac:dyDescent="0.25">
      <c r="A17" s="2">
        <v>4</v>
      </c>
      <c r="B17" s="1">
        <v>15</v>
      </c>
      <c r="D17" s="2">
        <v>19</v>
      </c>
      <c r="E17" s="1">
        <v>15</v>
      </c>
      <c r="G17" s="2" t="s">
        <v>2</v>
      </c>
      <c r="H17" s="1">
        <f>SUM(H12)</f>
        <v>0</v>
      </c>
    </row>
    <row r="18" spans="1:8" x14ac:dyDescent="0.25">
      <c r="A18" s="2">
        <v>5</v>
      </c>
      <c r="B18" s="1">
        <v>15</v>
      </c>
      <c r="D18" s="2">
        <v>20</v>
      </c>
      <c r="E18" s="1">
        <v>15</v>
      </c>
      <c r="G18" s="2" t="s">
        <v>3</v>
      </c>
      <c r="H18" s="1">
        <f>SUM(H16*H15)</f>
        <v>0</v>
      </c>
    </row>
    <row r="19" spans="1:8" x14ac:dyDescent="0.25">
      <c r="A19" s="2">
        <v>6</v>
      </c>
      <c r="B19" s="1">
        <v>14.1</v>
      </c>
      <c r="D19" s="2">
        <v>11</v>
      </c>
      <c r="E19" s="1">
        <v>0</v>
      </c>
    </row>
    <row r="20" spans="1:8" x14ac:dyDescent="0.25">
      <c r="A20" s="2">
        <v>7</v>
      </c>
      <c r="B20" s="1">
        <v>0</v>
      </c>
      <c r="D20" s="2"/>
      <c r="G20" s="2" t="s">
        <v>10</v>
      </c>
      <c r="H20" s="1">
        <f>SUM(B10,B28,E24,H8)</f>
        <v>577.72221999999999</v>
      </c>
    </row>
    <row r="21" spans="1:8" x14ac:dyDescent="0.25">
      <c r="A21" s="2">
        <v>8</v>
      </c>
      <c r="B21" s="1">
        <v>10.5</v>
      </c>
      <c r="D21" s="2" t="s">
        <v>6</v>
      </c>
      <c r="E21" s="1">
        <v>15</v>
      </c>
      <c r="G21" s="2" t="s">
        <v>9</v>
      </c>
      <c r="H21" s="1">
        <f>SUM(B11,B29,H9/2,H18,E25)</f>
        <v>705</v>
      </c>
    </row>
    <row r="22" spans="1:8" x14ac:dyDescent="0.25">
      <c r="A22" s="2">
        <v>9</v>
      </c>
      <c r="B22" s="1">
        <v>0</v>
      </c>
      <c r="D22" s="2" t="s">
        <v>5</v>
      </c>
      <c r="E22" s="1">
        <f>COUNT(D2:D19)</f>
        <v>18</v>
      </c>
      <c r="G22" s="2" t="s">
        <v>11</v>
      </c>
      <c r="H22" s="3">
        <f>SUM(H20/H21)</f>
        <v>0.81946414184397165</v>
      </c>
    </row>
    <row r="23" spans="1:8" x14ac:dyDescent="0.25">
      <c r="A23" s="2">
        <v>10</v>
      </c>
      <c r="D23" s="2" t="s">
        <v>12</v>
      </c>
      <c r="E23" s="1">
        <f>COUNT(E2:E19)</f>
        <v>18</v>
      </c>
    </row>
    <row r="24" spans="1:8" x14ac:dyDescent="0.25">
      <c r="A24" s="2"/>
      <c r="D24" s="2" t="s">
        <v>2</v>
      </c>
      <c r="E24" s="1">
        <f>SUM(E2:E19)</f>
        <v>221</v>
      </c>
    </row>
    <row r="25" spans="1:8" x14ac:dyDescent="0.25">
      <c r="A25" s="2" t="s">
        <v>6</v>
      </c>
      <c r="B25" s="1">
        <v>15</v>
      </c>
      <c r="D25" s="2" t="s">
        <v>3</v>
      </c>
      <c r="E25" s="1">
        <f>SUM(E18*E23)</f>
        <v>270</v>
      </c>
    </row>
    <row r="26" spans="1:8" x14ac:dyDescent="0.25">
      <c r="A26" s="2" t="s">
        <v>5</v>
      </c>
      <c r="B26" s="1">
        <f>COUNT(A14:A23)</f>
        <v>10</v>
      </c>
    </row>
    <row r="27" spans="1:8" x14ac:dyDescent="0.25">
      <c r="A27" s="2" t="s">
        <v>12</v>
      </c>
      <c r="B27" s="1">
        <f>COUNT(B14:B23)</f>
        <v>9</v>
      </c>
    </row>
    <row r="28" spans="1:8" x14ac:dyDescent="0.25">
      <c r="A28" s="2" t="s">
        <v>2</v>
      </c>
      <c r="B28" s="1">
        <f>SUM(B14:B22)</f>
        <v>98.25</v>
      </c>
    </row>
    <row r="29" spans="1:8" x14ac:dyDescent="0.25">
      <c r="A29" s="2" t="s">
        <v>3</v>
      </c>
      <c r="B29" s="1">
        <f>SUM(B25*B27)</f>
        <v>135</v>
      </c>
    </row>
    <row r="30" spans="1:8" x14ac:dyDescent="0.25">
      <c r="A3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</dc:creator>
  <cp:lastModifiedBy>Derek Wang</cp:lastModifiedBy>
  <dcterms:created xsi:type="dcterms:W3CDTF">2021-12-09T05:17:01Z</dcterms:created>
  <dcterms:modified xsi:type="dcterms:W3CDTF">2021-12-09T05:56:23Z</dcterms:modified>
</cp:coreProperties>
</file>